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-secure-code-review-capstone\evaluation\results\"/>
    </mc:Choice>
  </mc:AlternateContent>
  <xr:revisionPtr revIDLastSave="0" documentId="13_ncr:1_{654ABC01-291F-4566-92C8-4C930323F39D}" xr6:coauthVersionLast="47" xr6:coauthVersionMax="47" xr10:uidLastSave="{00000000-0000-0000-0000-000000000000}"/>
  <bookViews>
    <workbookView xWindow="-108" yWindow="-108" windowWidth="23256" windowHeight="12576" xr2:uid="{D35095DD-CD57-437C-A4D4-5183FB85EA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  <c r="B24" i="1"/>
  <c r="B23" i="1"/>
  <c r="B21" i="1"/>
  <c r="B20" i="1"/>
  <c r="B19" i="1"/>
  <c r="B18" i="1"/>
</calcChain>
</file>

<file path=xl/sharedStrings.xml><?xml version="1.0" encoding="utf-8"?>
<sst xmlns="http://schemas.openxmlformats.org/spreadsheetml/2006/main" count="87" uniqueCount="57">
  <si>
    <t>File Name</t>
  </si>
  <si>
    <t>Vulnerability Type</t>
  </si>
  <si>
    <t>Expected</t>
  </si>
  <si>
    <t>Detected(y/n)</t>
  </si>
  <si>
    <t>Notes</t>
  </si>
  <si>
    <t>sql_injection.py</t>
  </si>
  <si>
    <t>SQL injection</t>
  </si>
  <si>
    <t>Vulnerable</t>
  </si>
  <si>
    <t>Y</t>
  </si>
  <si>
    <t>B608 detected, low confidence</t>
  </si>
  <si>
    <t>unsafe_eval.py</t>
  </si>
  <si>
    <t>inseccure_subprocess_shell.py</t>
  </si>
  <si>
    <t>insecure_pickle_load.py</t>
  </si>
  <si>
    <t>weak_hash_md5.py</t>
  </si>
  <si>
    <t>Detected (B307, HIGH confidence)</t>
  </si>
  <si>
    <t>Detected (B602, HIGH confidence)</t>
  </si>
  <si>
    <t>Detected (B301, HIGH confidence)</t>
  </si>
  <si>
    <t>Detected (B324, HIGH confidence)</t>
  </si>
  <si>
    <t>Unsafe eval()</t>
  </si>
  <si>
    <t>Command Injection (shell=True)</t>
  </si>
  <si>
    <t>Insecure Deserialization (pickle)</t>
  </si>
  <si>
    <t>Weak Cryptographic Hash (MD5)</t>
  </si>
  <si>
    <t>weak_random.py</t>
  </si>
  <si>
    <t>insecure_temp_file.py</t>
  </si>
  <si>
    <t>improper_input_validation.py</t>
  </si>
  <si>
    <t>insecure_http_request.py</t>
  </si>
  <si>
    <t>missing_authentication.py</t>
  </si>
  <si>
    <t>Weak Random Number Generator</t>
  </si>
  <si>
    <t>N</t>
  </si>
  <si>
    <t>Insecure Temporary File (mktemp)</t>
  </si>
  <si>
    <t>Improper Input Validation</t>
  </si>
  <si>
    <t>HTTP Request Without Timeout</t>
  </si>
  <si>
    <t>Missing Authentication Check</t>
  </si>
  <si>
    <t>B311 detected, HIGH confidence</t>
  </si>
  <si>
    <t>B306 detected, HIGH confidence</t>
  </si>
  <si>
    <t>Not detected – logical validation issue</t>
  </si>
  <si>
    <t>B113 detected, LOW confidence</t>
  </si>
  <si>
    <t>Not detected – business logic flaw</t>
  </si>
  <si>
    <t>clean_math.py</t>
  </si>
  <si>
    <t>clean_sql_safe.py</t>
  </si>
  <si>
    <t>clean_hash_sha256.py</t>
  </si>
  <si>
    <t>clean_subprocess_safe.py</t>
  </si>
  <si>
    <t>clean_random_secure.py</t>
  </si>
  <si>
    <t>None</t>
  </si>
  <si>
    <t>Clean</t>
  </si>
  <si>
    <t>No issues flagged</t>
  </si>
  <si>
    <t>Parameterized query used</t>
  </si>
  <si>
    <t>Secure hashing</t>
  </si>
  <si>
    <t>No shell=True</t>
  </si>
  <si>
    <t>Uses secrets module</t>
  </si>
  <si>
    <t>TP</t>
  </si>
  <si>
    <t>FN</t>
  </si>
  <si>
    <t>FP</t>
  </si>
  <si>
    <t>TN</t>
  </si>
  <si>
    <t>Precision</t>
  </si>
  <si>
    <t>Recall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</si>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</sst>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F723B-3761-488E-B1CB-FEF3C1BEDBE3}">
  <dimension ref="A1:E25"/>
  <sheetViews>
    <sheetView tabSelected="1" workbookViewId="0">
      <selection activeCell="B25" sqref="B25"/>
    </sheetView>
  </sheetViews>
  <sheetFormatPr defaultRowHeight="14.4" x14ac:dyDescent="0.3"/>
  <cols>
    <col min="1" max="1" width="25.6640625" customWidth="1"/>
    <col min="2" max="2" width="30.21875" customWidth="1"/>
    <col min="3" max="3" width="24.21875" customWidth="1"/>
    <col min="4" max="4" width="32.109375" customWidth="1"/>
    <col min="5" max="5" width="42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18</v>
      </c>
      <c r="C3" t="s">
        <v>7</v>
      </c>
      <c r="D3" t="s">
        <v>8</v>
      </c>
      <c r="E3" t="s">
        <v>14</v>
      </c>
    </row>
    <row r="4" spans="1:5" x14ac:dyDescent="0.3">
      <c r="A4" t="s">
        <v>11</v>
      </c>
      <c r="B4" t="s">
        <v>19</v>
      </c>
      <c r="C4" t="s">
        <v>7</v>
      </c>
      <c r="D4" t="s">
        <v>8</v>
      </c>
      <c r="E4" t="s">
        <v>15</v>
      </c>
    </row>
    <row r="5" spans="1:5" x14ac:dyDescent="0.3">
      <c r="A5" t="s">
        <v>12</v>
      </c>
      <c r="B5" t="s">
        <v>20</v>
      </c>
      <c r="C5" t="s">
        <v>7</v>
      </c>
      <c r="D5" t="s">
        <v>8</v>
      </c>
      <c r="E5" t="s">
        <v>16</v>
      </c>
    </row>
    <row r="6" spans="1:5" x14ac:dyDescent="0.3">
      <c r="A6" t="s">
        <v>13</v>
      </c>
      <c r="B6" t="s">
        <v>21</v>
      </c>
      <c r="C6" t="s">
        <v>7</v>
      </c>
      <c r="D6" t="s">
        <v>8</v>
      </c>
      <c r="E6" t="s">
        <v>17</v>
      </c>
    </row>
    <row r="7" spans="1:5" x14ac:dyDescent="0.3">
      <c r="A7" t="s">
        <v>22</v>
      </c>
      <c r="B7" t="s">
        <v>27</v>
      </c>
      <c r="C7" t="s">
        <v>7</v>
      </c>
      <c r="D7" t="s">
        <v>8</v>
      </c>
      <c r="E7" t="s">
        <v>33</v>
      </c>
    </row>
    <row r="8" spans="1:5" x14ac:dyDescent="0.3">
      <c r="A8" t="s">
        <v>23</v>
      </c>
      <c r="B8" t="s">
        <v>29</v>
      </c>
      <c r="C8" t="s">
        <v>7</v>
      </c>
      <c r="D8" t="s">
        <v>8</v>
      </c>
      <c r="E8" t="s">
        <v>34</v>
      </c>
    </row>
    <row r="9" spans="1:5" x14ac:dyDescent="0.3">
      <c r="A9" t="s">
        <v>24</v>
      </c>
      <c r="B9" t="s">
        <v>30</v>
      </c>
      <c r="C9" t="s">
        <v>7</v>
      </c>
      <c r="D9" t="s">
        <v>28</v>
      </c>
      <c r="E9" t="s">
        <v>35</v>
      </c>
    </row>
    <row r="10" spans="1:5" x14ac:dyDescent="0.3">
      <c r="A10" t="s">
        <v>25</v>
      </c>
      <c r="B10" t="s">
        <v>31</v>
      </c>
      <c r="C10" t="s">
        <v>7</v>
      </c>
      <c r="D10" t="s">
        <v>8</v>
      </c>
      <c r="E10" t="s">
        <v>36</v>
      </c>
    </row>
    <row r="11" spans="1:5" x14ac:dyDescent="0.3">
      <c r="A11" t="s">
        <v>26</v>
      </c>
      <c r="B11" t="s">
        <v>32</v>
      </c>
      <c r="C11" t="s">
        <v>7</v>
      </c>
      <c r="D11" t="s">
        <v>28</v>
      </c>
      <c r="E11" t="s">
        <v>37</v>
      </c>
    </row>
    <row r="12" spans="1:5" x14ac:dyDescent="0.3">
      <c r="A12" t="s">
        <v>38</v>
      </c>
      <c r="B12" t="s">
        <v>43</v>
      </c>
      <c r="C12" t="s">
        <v>44</v>
      </c>
      <c r="D12" t="s">
        <v>28</v>
      </c>
      <c r="E12" t="s">
        <v>45</v>
      </c>
    </row>
    <row r="13" spans="1:5" x14ac:dyDescent="0.3">
      <c r="A13" t="s">
        <v>39</v>
      </c>
      <c r="B13" t="s">
        <v>43</v>
      </c>
      <c r="C13" t="s">
        <v>44</v>
      </c>
      <c r="D13" t="s">
        <v>28</v>
      </c>
      <c r="E13" t="s">
        <v>46</v>
      </c>
    </row>
    <row r="14" spans="1:5" x14ac:dyDescent="0.3">
      <c r="A14" t="s">
        <v>40</v>
      </c>
      <c r="B14" t="s">
        <v>43</v>
      </c>
      <c r="C14" t="s">
        <v>44</v>
      </c>
      <c r="D14" t="s">
        <v>28</v>
      </c>
      <c r="E14" t="s">
        <v>47</v>
      </c>
    </row>
    <row r="15" spans="1:5" x14ac:dyDescent="0.3">
      <c r="A15" t="s">
        <v>41</v>
      </c>
      <c r="B15" t="s">
        <v>43</v>
      </c>
      <c r="C15" t="s">
        <v>44</v>
      </c>
      <c r="D15" t="s">
        <v>28</v>
      </c>
      <c r="E15" t="s">
        <v>48</v>
      </c>
    </row>
    <row r="16" spans="1:5" x14ac:dyDescent="0.3">
      <c r="A16" t="s">
        <v>42</v>
      </c>
      <c r="B16" t="s">
        <v>43</v>
      </c>
      <c r="C16" t="s">
        <v>44</v>
      </c>
      <c r="D16" t="s">
        <v>28</v>
      </c>
      <c r="E16" t="s">
        <v>49</v>
      </c>
    </row>
    <row r="17" spans="1:5" x14ac:dyDescent="0.3">
      <c r="E17" s="1"/>
    </row>
    <row r="18" spans="1:5" x14ac:dyDescent="0.3">
      <c r="A18" t="s">
        <v>50</v>
      </c>
      <c r="B18">
        <f>COUNTIFS(C2:C16,"Vulnerable",D2:D16,"Y")</f>
        <v>8</v>
      </c>
    </row>
    <row r="19" spans="1:5" x14ac:dyDescent="0.3">
      <c r="A19" t="s">
        <v>51</v>
      </c>
      <c r="B19">
        <f>COUNTIFS(C2:C16,"Vulnerable",D2:D16,"N")</f>
        <v>2</v>
      </c>
    </row>
    <row r="20" spans="1:5" x14ac:dyDescent="0.3">
      <c r="A20" t="s">
        <v>52</v>
      </c>
      <c r="B20">
        <f>COUNTIFS(C2:C16,"Clean",D2:D16,"Y")</f>
        <v>0</v>
      </c>
    </row>
    <row r="21" spans="1:5" x14ac:dyDescent="0.3">
      <c r="A21" t="s">
        <v>53</v>
      </c>
      <c r="B21">
        <f>COUNTIFS(C2:C16,"Clean",D2:D16,"N")</f>
        <v>5</v>
      </c>
    </row>
    <row r="23" spans="1:5" x14ac:dyDescent="0.3">
      <c r="A23" t="s">
        <v>54</v>
      </c>
      <c r="B23">
        <f>B18/(B18+B20)</f>
        <v>1</v>
      </c>
    </row>
    <row r="24" spans="1:5" x14ac:dyDescent="0.3">
      <c r="A24" t="s">
        <v>55</v>
      </c>
      <c r="B24">
        <f>B18/(B18+B19)</f>
        <v>0.8</v>
      </c>
    </row>
    <row r="25" spans="1:5" x14ac:dyDescent="0.3">
      <c r="A25" t="s">
        <v>56</v>
      </c>
      <c r="B25">
        <f>2*(B23*B24)/(B23+B24)</f>
        <v>0.88888888888888895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PARIKSHIT SINGH</dc:creator>
  <cp:lastModifiedBy>PARIKSHIT SINGH</cp:lastModifiedBy>
  <dcterms:created xsi:type="dcterms:W3CDTF">2026-02-11T20:31:56Z</dcterms:created>
  <dcterms:modified xsi:type="dcterms:W3CDTF">2026-02-13T20:58:02Z</dcterms:modified>
</cp:coreProperties>
</file>